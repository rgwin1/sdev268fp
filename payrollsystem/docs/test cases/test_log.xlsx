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d0fef4c6ce3e76/Desktop/Summer2025/SDEV268/M8/payrollsystem/docs/test cases/"/>
    </mc:Choice>
  </mc:AlternateContent>
  <xr:revisionPtr revIDLastSave="155" documentId="8_{626B5BD4-8053-4E84-BFC4-F018141E1163}" xr6:coauthVersionLast="47" xr6:coauthVersionMax="47" xr10:uidLastSave="{C0D31033-662B-42C7-9772-077D90582B23}"/>
  <bookViews>
    <workbookView xWindow="53370" yWindow="1755" windowWidth="48900" windowHeight="15345" xr2:uid="{325F4D7B-BDF1-45C8-AC64-0C2DE388B1F2}"/>
  </bookViews>
  <sheets>
    <sheet name="test_log" sheetId="1" r:id="rId1"/>
    <sheet name="Sheet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23" i="1"/>
  <c r="A16" i="1"/>
  <c r="A19" i="1"/>
  <c r="A15" i="1"/>
  <c r="A11" i="1"/>
  <c r="A14" i="1"/>
  <c r="A13" i="1"/>
  <c r="A12" i="1"/>
  <c r="A17" i="1"/>
  <c r="A18" i="1"/>
  <c r="A20" i="1"/>
  <c r="A6" i="1"/>
  <c r="A3" i="1"/>
  <c r="A4" i="1"/>
  <c r="A5" i="1"/>
  <c r="A7" i="1"/>
  <c r="A8" i="1"/>
  <c r="A9" i="1"/>
  <c r="A10" i="1"/>
  <c r="A21" i="1"/>
  <c r="A22" i="1"/>
  <c r="A2" i="1"/>
</calcChain>
</file>

<file path=xl/sharedStrings.xml><?xml version="1.0" encoding="utf-8"?>
<sst xmlns="http://schemas.openxmlformats.org/spreadsheetml/2006/main" count="303" uniqueCount="225">
  <si>
    <t>ID</t>
  </si>
  <si>
    <t>Category</t>
  </si>
  <si>
    <t>Title</t>
  </si>
  <si>
    <t>Preconditions</t>
  </si>
  <si>
    <t>Test Data</t>
  </si>
  <si>
    <t>Steps</t>
  </si>
  <si>
    <t>Expected Result</t>
  </si>
  <si>
    <t>Evidence (screenshot to capture)</t>
  </si>
  <si>
    <t>Auth</t>
  </si>
  <si>
    <t>Login screen loads with required controls</t>
  </si>
  <si>
    <t>App freshly launched</t>
  </si>
  <si>
    <t>Launch app</t>
  </si>
  <si>
    <t>Login form shows User ID, Password, Role selector, Login, Exit</t>
  </si>
  <si>
    <t>Admin default credentials accepted</t>
  </si>
  <si>
    <t>Database seeded with admin HR0001</t>
  </si>
  <si>
    <t>User=HR0001, Pass=valid</t>
  </si>
  <si>
    <t>Enter HR0001, password, Role=Admin, click Login</t>
  </si>
  <si>
    <t>Admin dashboard loads</t>
  </si>
  <si>
    <t>Employee login accepted</t>
  </si>
  <si>
    <t>Active employee exists with auto credentials rule</t>
  </si>
  <si>
    <t>Enter employee creds, Role=Employee, click Login</t>
  </si>
  <si>
    <t>Employee dashboard loads</t>
  </si>
  <si>
    <t>Invalid password rejected</t>
  </si>
  <si>
    <t>Existing user</t>
  </si>
  <si>
    <t>Wrong password</t>
  </si>
  <si>
    <t>Enter wrong password, click Login</t>
  </si>
  <si>
    <t>Inline error shown, remains on login</t>
  </si>
  <si>
    <t>Employee-Validation</t>
  </si>
  <si>
    <t>First/Last alphabetic only</t>
  </si>
  <si>
    <t>Digits or symbols in name</t>
  </si>
  <si>
    <t>Enter bad names &gt; Save</t>
  </si>
  <si>
    <t>Alphabetic validation error</t>
  </si>
  <si>
    <t>DOB must be &gt;= 18 years</t>
  </si>
  <si>
    <t>DOB less than 18 years ago</t>
  </si>
  <si>
    <t>Enter underage DOB &gt; Save</t>
  </si>
  <si>
    <t>Age validation error</t>
  </si>
  <si>
    <t>Gender restricted values</t>
  </si>
  <si>
    <t>Invalid gender value</t>
  </si>
  <si>
    <t>Choose invalid value or type</t>
  </si>
  <si>
    <t>Validation error</t>
  </si>
  <si>
    <t>Pay type only Salary or Hourly</t>
  </si>
  <si>
    <t>Invalid pay type</t>
  </si>
  <si>
    <t>Enter other value</t>
  </si>
  <si>
    <t>Invalid values</t>
  </si>
  <si>
    <t>TimeEntry-Hourly</t>
  </si>
  <si>
    <t>Edit allowed before payroll lock</t>
  </si>
  <si>
    <t>Hours previously saved</t>
  </si>
  <si>
    <t>Modify Thu</t>
  </si>
  <si>
    <t>Edit entry then Save</t>
  </si>
  <si>
    <t>Changes persist</t>
  </si>
  <si>
    <t>Edit blocked after payroll lock</t>
  </si>
  <si>
    <t>Payroll locked for that period</t>
  </si>
  <si>
    <t>Try to edit Tue</t>
  </si>
  <si>
    <t>Attempt edit</t>
  </si>
  <si>
    <t>Edit disabled with message</t>
  </si>
  <si>
    <t>Calcs-Preview</t>
  </si>
  <si>
    <t>Social Security 6.2% component visible</t>
  </si>
  <si>
    <t>Any employee</t>
  </si>
  <si>
    <t>View tax breakdown</t>
  </si>
  <si>
    <t>SS 6.2% itemized</t>
  </si>
  <si>
    <t>Reports</t>
  </si>
  <si>
    <t>Payroll printer file generated</t>
  </si>
  <si>
    <t>Payroll calculated</t>
  </si>
  <si>
    <t>Admin &gt; Reports &gt; Generate printer file</t>
  </si>
  <si>
    <t>File saved to expected location</t>
  </si>
  <si>
    <t>Reports reflect locked state</t>
  </si>
  <si>
    <t>Payroll locked</t>
  </si>
  <si>
    <t>Open HR Report</t>
  </si>
  <si>
    <t>Shows 'Locked' status stamp</t>
  </si>
  <si>
    <t xml:space="preserve">Employee email + DOB-derived password </t>
  </si>
  <si>
    <t>Wrong Role rejected</t>
  </si>
  <si>
    <t>wrong role selected</t>
  </si>
  <si>
    <t>Enter user name and password, select wrong role, click login</t>
  </si>
  <si>
    <t>Employee-created</t>
  </si>
  <si>
    <t>Add employee success</t>
  </si>
  <si>
    <t>valid values</t>
  </si>
  <si>
    <t>enter all values for new employee</t>
  </si>
  <si>
    <t>Employee added successfully</t>
  </si>
  <si>
    <t>Employee-edited</t>
  </si>
  <si>
    <t>edit employee success</t>
  </si>
  <si>
    <t>existing employee</t>
  </si>
  <si>
    <t>edit employee fields (all)</t>
  </si>
  <si>
    <t>Edit all fields for employee</t>
  </si>
  <si>
    <t>employee edited successfully</t>
  </si>
  <si>
    <t>Date Format</t>
  </si>
  <si>
    <t>Invalid Date</t>
  </si>
  <si>
    <t>Enter an incorrect date format</t>
  </si>
  <si>
    <t>Enter invalid state/zip</t>
  </si>
  <si>
    <t>State/Zip formats</t>
  </si>
  <si>
    <t>Add time entry</t>
  </si>
  <si>
    <t xml:space="preserve"> existing employee logged in</t>
  </si>
  <si>
    <t>add 5 days worth of hours</t>
  </si>
  <si>
    <t>Add time entries for every shift worked + overtime</t>
  </si>
  <si>
    <t>Time entries added successfully</t>
  </si>
  <si>
    <t>E001</t>
  </si>
  <si>
    <t>John</t>
  </si>
  <si>
    <t>Smith</t>
  </si>
  <si>
    <t>A</t>
  </si>
  <si>
    <t>317-555-0101</t>
  </si>
  <si>
    <t>johnsmith@abccompany.com</t>
  </si>
  <si>
    <t>Active</t>
  </si>
  <si>
    <t>Male</t>
  </si>
  <si>
    <t>Salary</t>
  </si>
  <si>
    <t>123 Main St</t>
  </si>
  <si>
    <t>Indianapolis</t>
  </si>
  <si>
    <t>IN</t>
  </si>
  <si>
    <t>E002</t>
  </si>
  <si>
    <t>Emily</t>
  </si>
  <si>
    <t>Johnson</t>
  </si>
  <si>
    <t>317-555-0102</t>
  </si>
  <si>
    <t>emilyjohnson@abccompany.com</t>
  </si>
  <si>
    <t>Terminated</t>
  </si>
  <si>
    <t>Female</t>
  </si>
  <si>
    <t>Hourly</t>
  </si>
  <si>
    <t>456 Oak Ave</t>
  </si>
  <si>
    <t>Apt 2B</t>
  </si>
  <si>
    <t>Fort Wayne</t>
  </si>
  <si>
    <t>E003</t>
  </si>
  <si>
    <t>Michael</t>
  </si>
  <si>
    <t>Williams</t>
  </si>
  <si>
    <t>Trevor</t>
  </si>
  <si>
    <t>317-555-0103</t>
  </si>
  <si>
    <t>michaelwilliams@abccompany.com</t>
  </si>
  <si>
    <t>789 Pine Rd</t>
  </si>
  <si>
    <t>Evansville</t>
  </si>
  <si>
    <t>E004</t>
  </si>
  <si>
    <t>Sarah</t>
  </si>
  <si>
    <t>Brown</t>
  </si>
  <si>
    <t>LeeAnne</t>
  </si>
  <si>
    <t>317-555-0104</t>
  </si>
  <si>
    <t>sarahbrown@abccompany.com</t>
  </si>
  <si>
    <t>321 Cedar Ln</t>
  </si>
  <si>
    <t>Bloomington</t>
  </si>
  <si>
    <t>E005</t>
  </si>
  <si>
    <t>David</t>
  </si>
  <si>
    <t>Jones</t>
  </si>
  <si>
    <t>Lawson</t>
  </si>
  <si>
    <t>317-555-0105</t>
  </si>
  <si>
    <t>davidjones@abccompany.com</t>
  </si>
  <si>
    <t>654 Maple St</t>
  </si>
  <si>
    <t>Unit 5</t>
  </si>
  <si>
    <t>Lafayette</t>
  </si>
  <si>
    <t>E006</t>
  </si>
  <si>
    <t>Ashley</t>
  </si>
  <si>
    <t>Garcia</t>
  </si>
  <si>
    <t>317-555-0106</t>
  </si>
  <si>
    <t>ashleygarcia@abccompany.com</t>
  </si>
  <si>
    <t>987 Walnut Dr</t>
  </si>
  <si>
    <t>Gary</t>
  </si>
  <si>
    <t>E007</t>
  </si>
  <si>
    <t>Christopher</t>
  </si>
  <si>
    <t>Miller</t>
  </si>
  <si>
    <t>J</t>
  </si>
  <si>
    <t>317-555-0107</t>
  </si>
  <si>
    <t>christophermiller@abccompany.com</t>
  </si>
  <si>
    <t>135 Birch Blvd</t>
  </si>
  <si>
    <t>Muncie</t>
  </si>
  <si>
    <t>E008</t>
  </si>
  <si>
    <t>Amanda</t>
  </si>
  <si>
    <t>Davis</t>
  </si>
  <si>
    <t>317-555-0108</t>
  </si>
  <si>
    <t>amandadavis@abccompany.com</t>
  </si>
  <si>
    <t>246 Spruce Ct</t>
  </si>
  <si>
    <t>Suite 10</t>
  </si>
  <si>
    <t>Carmel</t>
  </si>
  <si>
    <t>E009</t>
  </si>
  <si>
    <t>Rodriguez</t>
  </si>
  <si>
    <t>K</t>
  </si>
  <si>
    <t>317-555-0109</t>
  </si>
  <si>
    <t>joshuarodriguez@abccompany.com</t>
  </si>
  <si>
    <t>357 Aspen Way</t>
  </si>
  <si>
    <t>Terre Haute</t>
  </si>
  <si>
    <t>E010</t>
  </si>
  <si>
    <t>Megan</t>
  </si>
  <si>
    <t>Martinez</t>
  </si>
  <si>
    <t>317-555-0110</t>
  </si>
  <si>
    <t>meganmartinez@abccompany.com</t>
  </si>
  <si>
    <t>468 Cherry St</t>
  </si>
  <si>
    <t>South Bend</t>
  </si>
  <si>
    <t>E011</t>
  </si>
  <si>
    <t>Brian</t>
  </si>
  <si>
    <t>Hernandez</t>
  </si>
  <si>
    <t>P</t>
  </si>
  <si>
    <t>317-555-0111</t>
  </si>
  <si>
    <t>brianhernandez@abccompany.com</t>
  </si>
  <si>
    <t>579 Poplar Dr</t>
  </si>
  <si>
    <t>Floor 3</t>
  </si>
  <si>
    <t>Elkhart</t>
  </si>
  <si>
    <t>E012</t>
  </si>
  <si>
    <t>Jordan</t>
  </si>
  <si>
    <t>Reyes</t>
  </si>
  <si>
    <t>Anderson</t>
  </si>
  <si>
    <t>jordanreyes@abccompany.com</t>
  </si>
  <si>
    <t>123 Maple Street</t>
  </si>
  <si>
    <t>johnsmith19850314</t>
  </si>
  <si>
    <t>michaelwilliams19781105</t>
  </si>
  <si>
    <t>sarahbrown19820118</t>
  </si>
  <si>
    <t>davidjones19950609</t>
  </si>
  <si>
    <t>christophermiller19750427</t>
  </si>
  <si>
    <t>amandadavis19921203</t>
  </si>
  <si>
    <t>Jesse</t>
  </si>
  <si>
    <t>jesserodriguez19840819</t>
  </si>
  <si>
    <t>meganmartinez19980215</t>
  </si>
  <si>
    <t>brianhernandez19860525</t>
  </si>
  <si>
    <t>jordanreyes19960514</t>
  </si>
  <si>
    <t>317-555-0112</t>
  </si>
  <si>
    <t>S</t>
  </si>
  <si>
    <t>H</t>
  </si>
  <si>
    <t>h</t>
  </si>
  <si>
    <t>s</t>
  </si>
  <si>
    <t>Input validation date/num hours</t>
  </si>
  <si>
    <t>try to add 25 hours, or invalid date</t>
  </si>
  <si>
    <t>Add invalid date or more than 24 hours</t>
  </si>
  <si>
    <t>Inline error shown for invalid date and num hours</t>
  </si>
  <si>
    <t>Delete time entry</t>
  </si>
  <si>
    <t>existing employee logged in; time entry exists</t>
  </si>
  <si>
    <t>Delete an entry</t>
  </si>
  <si>
    <t>highlight existing entry, select delete</t>
  </si>
  <si>
    <t>entry deleted</t>
  </si>
  <si>
    <t>Database Creation</t>
  </si>
  <si>
    <t>databases correctly initialized</t>
  </si>
  <si>
    <t>Employee Payroll History</t>
  </si>
  <si>
    <t>Time Entries Entered, payroll calculated by admin</t>
  </si>
  <si>
    <t>Open Payroll History from Employee Dashboard</t>
  </si>
  <si>
    <t>History of Employee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</si>
</sst>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69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hleygarcia@abc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91C3-B38F-4AD6-AB31-6877698A22D2}">
  <dimension ref="A1:H24"/>
  <sheetViews>
    <sheetView tabSelected="1" workbookViewId="0">
      <selection activeCell="H24" sqref="H24"/>
    </sheetView>
  </sheetViews>
  <sheetFormatPr defaultRowHeight="15" x14ac:dyDescent="0.25"/>
  <cols>
    <col min="1" max="1" width="15.140625" customWidth="1"/>
    <col min="2" max="2" width="23.85546875" customWidth="1"/>
    <col min="3" max="3" width="40.5703125" customWidth="1"/>
    <col min="4" max="4" width="44.28515625" bestFit="1" customWidth="1"/>
    <col min="5" max="5" width="49.5703125" bestFit="1" customWidth="1"/>
    <col min="6" max="6" width="45.28515625" bestFit="1" customWidth="1"/>
    <col min="7" max="7" width="56.42578125" bestFit="1" customWidth="1"/>
    <col min="8" max="8" width="3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tr">
        <f>"TC-" &amp; TEXT(ROW()-1,"000")</f>
        <v>TC-001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8" x14ac:dyDescent="0.25">
      <c r="A3" t="str">
        <f t="shared" ref="A3:A24" si="0">"TC-" &amp; TEXT(ROW()-1,"000")</f>
        <v>TC-002</v>
      </c>
      <c r="B3" t="s">
        <v>8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8" x14ac:dyDescent="0.25">
      <c r="A4" t="str">
        <f t="shared" si="0"/>
        <v>TC-003</v>
      </c>
      <c r="B4" t="s">
        <v>8</v>
      </c>
      <c r="C4" t="s">
        <v>18</v>
      </c>
      <c r="D4" t="s">
        <v>19</v>
      </c>
      <c r="E4" t="s">
        <v>69</v>
      </c>
      <c r="F4" t="s">
        <v>20</v>
      </c>
      <c r="G4" t="s">
        <v>21</v>
      </c>
    </row>
    <row r="5" spans="1:8" x14ac:dyDescent="0.25">
      <c r="A5" t="str">
        <f t="shared" si="0"/>
        <v>TC-004</v>
      </c>
      <c r="B5" t="s">
        <v>8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8" x14ac:dyDescent="0.25">
      <c r="A6" t="str">
        <f t="shared" si="0"/>
        <v>TC-005</v>
      </c>
      <c r="B6" t="s">
        <v>8</v>
      </c>
      <c r="C6" t="s">
        <v>70</v>
      </c>
      <c r="D6" t="s">
        <v>23</v>
      </c>
      <c r="E6" t="s">
        <v>71</v>
      </c>
      <c r="F6" t="s">
        <v>72</v>
      </c>
      <c r="G6" t="s">
        <v>26</v>
      </c>
    </row>
    <row r="7" spans="1:8" x14ac:dyDescent="0.25">
      <c r="A7" t="str">
        <f t="shared" si="0"/>
        <v>TC-006</v>
      </c>
      <c r="B7" t="s">
        <v>27</v>
      </c>
      <c r="C7" t="s">
        <v>28</v>
      </c>
      <c r="E7" t="s">
        <v>29</v>
      </c>
      <c r="F7" t="s">
        <v>30</v>
      </c>
      <c r="G7" t="s">
        <v>31</v>
      </c>
    </row>
    <row r="8" spans="1:8" x14ac:dyDescent="0.25">
      <c r="A8" t="str">
        <f t="shared" si="0"/>
        <v>TC-007</v>
      </c>
      <c r="B8" t="s">
        <v>27</v>
      </c>
      <c r="C8" t="s">
        <v>32</v>
      </c>
      <c r="E8" t="s">
        <v>33</v>
      </c>
      <c r="F8" t="s">
        <v>34</v>
      </c>
      <c r="G8" t="s">
        <v>35</v>
      </c>
    </row>
    <row r="9" spans="1:8" x14ac:dyDescent="0.25">
      <c r="A9" t="str">
        <f t="shared" si="0"/>
        <v>TC-008</v>
      </c>
      <c r="B9" t="s">
        <v>27</v>
      </c>
      <c r="C9" t="s">
        <v>36</v>
      </c>
      <c r="E9" t="s">
        <v>37</v>
      </c>
      <c r="F9" t="s">
        <v>38</v>
      </c>
      <c r="G9" t="s">
        <v>39</v>
      </c>
    </row>
    <row r="10" spans="1:8" x14ac:dyDescent="0.25">
      <c r="A10" t="str">
        <f t="shared" si="0"/>
        <v>TC-009</v>
      </c>
      <c r="B10" t="s">
        <v>27</v>
      </c>
      <c r="C10" t="s">
        <v>40</v>
      </c>
      <c r="E10" t="s">
        <v>41</v>
      </c>
      <c r="F10" t="s">
        <v>42</v>
      </c>
      <c r="G10" t="s">
        <v>39</v>
      </c>
    </row>
    <row r="11" spans="1:8" x14ac:dyDescent="0.25">
      <c r="A11" t="str">
        <f t="shared" si="0"/>
        <v>TC-010</v>
      </c>
      <c r="B11" t="s">
        <v>27</v>
      </c>
      <c r="C11" t="s">
        <v>84</v>
      </c>
      <c r="E11" t="s">
        <v>85</v>
      </c>
      <c r="F11" t="s">
        <v>86</v>
      </c>
      <c r="G11" t="s">
        <v>39</v>
      </c>
    </row>
    <row r="12" spans="1:8" x14ac:dyDescent="0.25">
      <c r="A12" t="str">
        <f t="shared" si="0"/>
        <v>TC-011</v>
      </c>
      <c r="B12" t="s">
        <v>27</v>
      </c>
      <c r="C12" t="s">
        <v>88</v>
      </c>
      <c r="E12" t="s">
        <v>43</v>
      </c>
      <c r="F12" t="s">
        <v>87</v>
      </c>
      <c r="G12" t="s">
        <v>39</v>
      </c>
    </row>
    <row r="13" spans="1:8" x14ac:dyDescent="0.25">
      <c r="A13" t="str">
        <f t="shared" si="0"/>
        <v>TC-012</v>
      </c>
      <c r="B13" t="s">
        <v>73</v>
      </c>
      <c r="C13" t="s">
        <v>74</v>
      </c>
      <c r="E13" t="s">
        <v>75</v>
      </c>
      <c r="F13" t="s">
        <v>76</v>
      </c>
      <c r="G13" t="s">
        <v>77</v>
      </c>
    </row>
    <row r="14" spans="1:8" x14ac:dyDescent="0.25">
      <c r="A14" t="str">
        <f t="shared" si="0"/>
        <v>TC-013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</row>
    <row r="15" spans="1:8" x14ac:dyDescent="0.25">
      <c r="A15" t="str">
        <f t="shared" si="0"/>
        <v>TC-014</v>
      </c>
      <c r="B15" t="s">
        <v>44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</row>
    <row r="16" spans="1:8" x14ac:dyDescent="0.25">
      <c r="A16" t="str">
        <f t="shared" si="0"/>
        <v>TC-015</v>
      </c>
      <c r="B16" t="s">
        <v>44</v>
      </c>
      <c r="C16" t="s">
        <v>214</v>
      </c>
      <c r="D16" t="s">
        <v>215</v>
      </c>
      <c r="E16" t="s">
        <v>216</v>
      </c>
      <c r="F16" t="s">
        <v>217</v>
      </c>
      <c r="G16" t="s">
        <v>218</v>
      </c>
    </row>
    <row r="17" spans="1:7" x14ac:dyDescent="0.25">
      <c r="A17" t="str">
        <f t="shared" si="0"/>
        <v>TC-016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</row>
    <row r="18" spans="1:7" x14ac:dyDescent="0.25">
      <c r="A18" t="str">
        <f t="shared" si="0"/>
        <v>TC-017</v>
      </c>
      <c r="B18" t="s">
        <v>44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</row>
    <row r="19" spans="1:7" x14ac:dyDescent="0.25">
      <c r="A19" t="str">
        <f t="shared" si="0"/>
        <v>TC-018</v>
      </c>
      <c r="B19" t="s">
        <v>44</v>
      </c>
      <c r="C19" t="s">
        <v>210</v>
      </c>
      <c r="E19" t="s">
        <v>211</v>
      </c>
      <c r="F19" t="s">
        <v>212</v>
      </c>
      <c r="G19" t="s">
        <v>213</v>
      </c>
    </row>
    <row r="20" spans="1:7" x14ac:dyDescent="0.25">
      <c r="A20" t="str">
        <f t="shared" si="0"/>
        <v>TC-019</v>
      </c>
      <c r="B20" t="s">
        <v>55</v>
      </c>
      <c r="C20" t="s">
        <v>56</v>
      </c>
      <c r="D20" t="s">
        <v>57</v>
      </c>
      <c r="F20" t="s">
        <v>58</v>
      </c>
      <c r="G20" t="s">
        <v>59</v>
      </c>
    </row>
    <row r="21" spans="1:7" x14ac:dyDescent="0.25">
      <c r="A21" t="str">
        <f t="shared" si="0"/>
        <v>TC-020</v>
      </c>
      <c r="B21" t="s">
        <v>60</v>
      </c>
      <c r="C21" t="s">
        <v>61</v>
      </c>
      <c r="D21" t="s">
        <v>62</v>
      </c>
      <c r="F21" t="s">
        <v>63</v>
      </c>
      <c r="G21" t="s">
        <v>64</v>
      </c>
    </row>
    <row r="22" spans="1:7" x14ac:dyDescent="0.25">
      <c r="A22" t="str">
        <f t="shared" si="0"/>
        <v>TC-021</v>
      </c>
      <c r="B22" t="s">
        <v>60</v>
      </c>
      <c r="C22" t="s">
        <v>65</v>
      </c>
      <c r="D22" t="s">
        <v>66</v>
      </c>
      <c r="F22" t="s">
        <v>67</v>
      </c>
      <c r="G22" t="s">
        <v>68</v>
      </c>
    </row>
    <row r="23" spans="1:7" x14ac:dyDescent="0.25">
      <c r="A23" t="str">
        <f t="shared" si="0"/>
        <v>TC-022</v>
      </c>
      <c r="B23" t="s">
        <v>219</v>
      </c>
      <c r="G23" t="s">
        <v>220</v>
      </c>
    </row>
    <row r="24" spans="1:7" x14ac:dyDescent="0.25">
      <c r="A24" t="str">
        <f t="shared" si="0"/>
        <v>TC-023</v>
      </c>
      <c r="B24" t="s">
        <v>221</v>
      </c>
      <c r="D24" t="s">
        <v>222</v>
      </c>
      <c r="F24" t="s">
        <v>223</v>
      </c>
      <c r="G24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D588-297A-4B1D-A6A3-0C5F23F74230}">
  <dimension ref="A1:O23"/>
  <sheetViews>
    <sheetView workbookViewId="0">
      <selection activeCell="B23" sqref="B23"/>
    </sheetView>
  </sheetViews>
  <sheetFormatPr defaultRowHeight="15" x14ac:dyDescent="0.25"/>
  <cols>
    <col min="2" max="2" width="25.42578125" customWidth="1"/>
    <col min="5" max="5" width="12.42578125" style="1" customWidth="1"/>
    <col min="6" max="6" width="12.42578125" bestFit="1" customWidth="1"/>
    <col min="7" max="7" width="37.5703125" customWidth="1"/>
    <col min="8" max="8" width="18.140625" customWidth="1"/>
    <col min="9" max="9" width="10.7109375" customWidth="1"/>
    <col min="10" max="11" width="14.28515625" customWidth="1"/>
    <col min="13" max="13" width="12.28515625" bestFit="1" customWidth="1"/>
    <col min="14" max="14" width="12.28515625" customWidth="1"/>
  </cols>
  <sheetData>
    <row r="1" spans="1:15" x14ac:dyDescent="0.25">
      <c r="A1" t="s">
        <v>94</v>
      </c>
      <c r="B1" t="s">
        <v>95</v>
      </c>
      <c r="C1" t="s">
        <v>96</v>
      </c>
      <c r="D1" t="s">
        <v>97</v>
      </c>
      <c r="E1" s="1">
        <v>31120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M1" t="s">
        <v>104</v>
      </c>
      <c r="N1" t="s">
        <v>105</v>
      </c>
      <c r="O1">
        <v>46201</v>
      </c>
    </row>
    <row r="2" spans="1:15" x14ac:dyDescent="0.25">
      <c r="A2" t="s">
        <v>106</v>
      </c>
      <c r="B2" t="s">
        <v>107</v>
      </c>
      <c r="C2" t="s">
        <v>108</v>
      </c>
      <c r="E2" s="1">
        <v>33076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105</v>
      </c>
      <c r="O2">
        <v>46802</v>
      </c>
    </row>
    <row r="3" spans="1:15" x14ac:dyDescent="0.25">
      <c r="A3" t="s">
        <v>117</v>
      </c>
      <c r="B3" t="s">
        <v>118</v>
      </c>
      <c r="C3" t="s">
        <v>119</v>
      </c>
      <c r="D3" t="s">
        <v>120</v>
      </c>
      <c r="E3" s="1">
        <v>28799</v>
      </c>
      <c r="F3" t="s">
        <v>121</v>
      </c>
      <c r="G3" t="s">
        <v>122</v>
      </c>
      <c r="H3" t="s">
        <v>100</v>
      </c>
      <c r="I3" t="s">
        <v>101</v>
      </c>
      <c r="J3" t="s">
        <v>102</v>
      </c>
      <c r="K3" t="s">
        <v>123</v>
      </c>
      <c r="M3" t="s">
        <v>124</v>
      </c>
      <c r="N3" t="s">
        <v>105</v>
      </c>
      <c r="O3">
        <v>47708</v>
      </c>
    </row>
    <row r="4" spans="1:15" x14ac:dyDescent="0.25">
      <c r="A4" t="s">
        <v>125</v>
      </c>
      <c r="B4" t="s">
        <v>126</v>
      </c>
      <c r="C4" t="s">
        <v>127</v>
      </c>
      <c r="D4" t="s">
        <v>128</v>
      </c>
      <c r="E4" s="1">
        <v>29969</v>
      </c>
      <c r="F4" t="s">
        <v>129</v>
      </c>
      <c r="G4" t="s">
        <v>130</v>
      </c>
      <c r="H4" t="s">
        <v>100</v>
      </c>
      <c r="I4" t="s">
        <v>112</v>
      </c>
      <c r="J4" t="s">
        <v>113</v>
      </c>
      <c r="K4" t="s">
        <v>131</v>
      </c>
      <c r="M4" t="s">
        <v>132</v>
      </c>
      <c r="N4" t="s">
        <v>105</v>
      </c>
      <c r="O4">
        <v>47401</v>
      </c>
    </row>
    <row r="5" spans="1:15" x14ac:dyDescent="0.25">
      <c r="A5" t="s">
        <v>133</v>
      </c>
      <c r="B5" t="s">
        <v>134</v>
      </c>
      <c r="C5" t="s">
        <v>135</v>
      </c>
      <c r="D5" t="s">
        <v>136</v>
      </c>
      <c r="E5" s="1">
        <v>34859</v>
      </c>
      <c r="F5" t="s">
        <v>137</v>
      </c>
      <c r="G5" t="s">
        <v>138</v>
      </c>
      <c r="H5" t="s">
        <v>100</v>
      </c>
      <c r="I5" t="s">
        <v>101</v>
      </c>
      <c r="J5" t="s">
        <v>102</v>
      </c>
      <c r="K5" t="s">
        <v>139</v>
      </c>
      <c r="L5" t="s">
        <v>140</v>
      </c>
      <c r="M5" t="s">
        <v>141</v>
      </c>
      <c r="N5" t="s">
        <v>105</v>
      </c>
      <c r="O5">
        <v>47901</v>
      </c>
    </row>
    <row r="6" spans="1:15" x14ac:dyDescent="0.25">
      <c r="A6" t="s">
        <v>142</v>
      </c>
      <c r="B6" t="s">
        <v>143</v>
      </c>
      <c r="C6" t="s">
        <v>144</v>
      </c>
      <c r="E6" s="1">
        <v>32398</v>
      </c>
      <c r="F6" t="s">
        <v>145</v>
      </c>
      <c r="G6" s="2" t="s">
        <v>146</v>
      </c>
      <c r="H6" t="s">
        <v>111</v>
      </c>
      <c r="I6" t="s">
        <v>112</v>
      </c>
      <c r="J6" t="s">
        <v>113</v>
      </c>
      <c r="K6" t="s">
        <v>147</v>
      </c>
      <c r="M6" t="s">
        <v>148</v>
      </c>
      <c r="N6" t="s">
        <v>105</v>
      </c>
      <c r="O6">
        <v>46402</v>
      </c>
    </row>
    <row r="7" spans="1:15" ht="13.5" customHeight="1" x14ac:dyDescent="0.25">
      <c r="A7" t="s">
        <v>149</v>
      </c>
      <c r="B7" t="s">
        <v>150</v>
      </c>
      <c r="C7" t="s">
        <v>151</v>
      </c>
      <c r="D7" t="s">
        <v>152</v>
      </c>
      <c r="E7" s="1">
        <v>27511</v>
      </c>
      <c r="F7" t="s">
        <v>153</v>
      </c>
      <c r="G7" t="s">
        <v>154</v>
      </c>
      <c r="H7" t="s">
        <v>100</v>
      </c>
      <c r="I7" t="s">
        <v>101</v>
      </c>
      <c r="J7" t="s">
        <v>102</v>
      </c>
      <c r="K7" t="s">
        <v>155</v>
      </c>
      <c r="M7" t="s">
        <v>156</v>
      </c>
      <c r="N7" t="s">
        <v>105</v>
      </c>
      <c r="O7">
        <v>47303</v>
      </c>
    </row>
    <row r="8" spans="1:15" x14ac:dyDescent="0.25">
      <c r="A8" t="s">
        <v>157</v>
      </c>
      <c r="B8" t="s">
        <v>158</v>
      </c>
      <c r="C8" t="s">
        <v>159</v>
      </c>
      <c r="E8" s="1">
        <v>33941</v>
      </c>
      <c r="F8" t="s">
        <v>160</v>
      </c>
      <c r="G8" t="s">
        <v>161</v>
      </c>
      <c r="H8" t="s">
        <v>100</v>
      </c>
      <c r="I8" t="s">
        <v>112</v>
      </c>
      <c r="J8" t="s">
        <v>113</v>
      </c>
      <c r="K8" t="s">
        <v>162</v>
      </c>
      <c r="L8" t="s">
        <v>163</v>
      </c>
      <c r="M8" t="s">
        <v>164</v>
      </c>
      <c r="N8" t="s">
        <v>105</v>
      </c>
      <c r="O8">
        <v>46032</v>
      </c>
    </row>
    <row r="9" spans="1:15" x14ac:dyDescent="0.25">
      <c r="A9" t="s">
        <v>165</v>
      </c>
      <c r="B9" t="s">
        <v>200</v>
      </c>
      <c r="C9" t="s">
        <v>166</v>
      </c>
      <c r="D9" t="s">
        <v>167</v>
      </c>
      <c r="E9" s="1">
        <v>30913</v>
      </c>
      <c r="F9" t="s">
        <v>168</v>
      </c>
      <c r="G9" t="s">
        <v>169</v>
      </c>
      <c r="H9" t="s">
        <v>100</v>
      </c>
      <c r="I9" t="s">
        <v>101</v>
      </c>
      <c r="J9" t="s">
        <v>102</v>
      </c>
      <c r="K9" t="s">
        <v>170</v>
      </c>
      <c r="M9" t="s">
        <v>171</v>
      </c>
      <c r="N9" t="s">
        <v>105</v>
      </c>
      <c r="O9">
        <v>47802</v>
      </c>
    </row>
    <row r="10" spans="1:15" x14ac:dyDescent="0.25">
      <c r="A10" t="s">
        <v>172</v>
      </c>
      <c r="B10" t="s">
        <v>173</v>
      </c>
      <c r="C10" t="s">
        <v>174</v>
      </c>
      <c r="E10" s="1">
        <v>35841</v>
      </c>
      <c r="F10" t="s">
        <v>175</v>
      </c>
      <c r="G10" t="s">
        <v>176</v>
      </c>
      <c r="H10" t="s">
        <v>100</v>
      </c>
      <c r="I10" t="s">
        <v>112</v>
      </c>
      <c r="J10" t="s">
        <v>113</v>
      </c>
      <c r="K10" t="s">
        <v>177</v>
      </c>
      <c r="M10" t="s">
        <v>178</v>
      </c>
      <c r="N10" t="s">
        <v>105</v>
      </c>
      <c r="O10">
        <v>46601</v>
      </c>
    </row>
    <row r="11" spans="1:15" x14ac:dyDescent="0.25">
      <c r="A11" t="s">
        <v>179</v>
      </c>
      <c r="B11" t="s">
        <v>180</v>
      </c>
      <c r="C11" t="s">
        <v>181</v>
      </c>
      <c r="D11" t="s">
        <v>182</v>
      </c>
      <c r="E11" s="1">
        <v>31557</v>
      </c>
      <c r="F11" t="s">
        <v>183</v>
      </c>
      <c r="G11" t="s">
        <v>184</v>
      </c>
      <c r="H11" t="s">
        <v>100</v>
      </c>
      <c r="I11" t="s">
        <v>101</v>
      </c>
      <c r="J11" t="s">
        <v>102</v>
      </c>
      <c r="K11" t="s">
        <v>185</v>
      </c>
      <c r="L11" t="s">
        <v>186</v>
      </c>
      <c r="M11" t="s">
        <v>187</v>
      </c>
      <c r="N11" t="s">
        <v>105</v>
      </c>
      <c r="O11">
        <v>46514</v>
      </c>
    </row>
    <row r="12" spans="1:15" x14ac:dyDescent="0.25">
      <c r="A12" t="s">
        <v>188</v>
      </c>
      <c r="B12" t="s">
        <v>189</v>
      </c>
      <c r="C12" t="s">
        <v>190</v>
      </c>
      <c r="D12" t="s">
        <v>191</v>
      </c>
      <c r="E12" s="1">
        <v>35199</v>
      </c>
      <c r="F12" t="s">
        <v>205</v>
      </c>
      <c r="G12" t="s">
        <v>192</v>
      </c>
      <c r="H12" t="s">
        <v>100</v>
      </c>
      <c r="I12" t="s">
        <v>101</v>
      </c>
      <c r="J12" t="s">
        <v>113</v>
      </c>
      <c r="K12" t="s">
        <v>193</v>
      </c>
      <c r="L12" t="s">
        <v>115</v>
      </c>
      <c r="M12" t="s">
        <v>104</v>
      </c>
      <c r="N12" t="s">
        <v>105</v>
      </c>
      <c r="O12">
        <v>46204</v>
      </c>
    </row>
    <row r="14" spans="1:15" x14ac:dyDescent="0.25">
      <c r="A14" t="s">
        <v>94</v>
      </c>
      <c r="B14" t="s">
        <v>194</v>
      </c>
      <c r="C14" t="s">
        <v>206</v>
      </c>
    </row>
    <row r="15" spans="1:15" x14ac:dyDescent="0.25">
      <c r="A15" t="s">
        <v>117</v>
      </c>
      <c r="B15" t="s">
        <v>195</v>
      </c>
      <c r="C15" t="s">
        <v>206</v>
      </c>
    </row>
    <row r="16" spans="1:15" x14ac:dyDescent="0.25">
      <c r="A16" t="s">
        <v>125</v>
      </c>
      <c r="B16" t="s">
        <v>196</v>
      </c>
      <c r="C16" t="s">
        <v>207</v>
      </c>
    </row>
    <row r="17" spans="1:3" x14ac:dyDescent="0.25">
      <c r="A17" t="s">
        <v>133</v>
      </c>
      <c r="B17" t="s">
        <v>197</v>
      </c>
      <c r="C17" t="s">
        <v>206</v>
      </c>
    </row>
    <row r="18" spans="1:3" x14ac:dyDescent="0.25">
      <c r="A18" t="s">
        <v>149</v>
      </c>
      <c r="B18" t="s">
        <v>198</v>
      </c>
      <c r="C18" t="s">
        <v>206</v>
      </c>
    </row>
    <row r="19" spans="1:3" x14ac:dyDescent="0.25">
      <c r="A19" t="s">
        <v>157</v>
      </c>
      <c r="B19" t="s">
        <v>199</v>
      </c>
      <c r="C19" t="s">
        <v>207</v>
      </c>
    </row>
    <row r="20" spans="1:3" x14ac:dyDescent="0.25">
      <c r="A20" t="s">
        <v>165</v>
      </c>
      <c r="B20" t="s">
        <v>201</v>
      </c>
      <c r="C20" t="s">
        <v>206</v>
      </c>
    </row>
    <row r="21" spans="1:3" x14ac:dyDescent="0.25">
      <c r="A21" t="s">
        <v>172</v>
      </c>
      <c r="B21" t="s">
        <v>202</v>
      </c>
      <c r="C21" t="s">
        <v>208</v>
      </c>
    </row>
    <row r="22" spans="1:3" x14ac:dyDescent="0.25">
      <c r="A22" t="s">
        <v>179</v>
      </c>
      <c r="B22" t="s">
        <v>203</v>
      </c>
      <c r="C22" t="s">
        <v>209</v>
      </c>
    </row>
    <row r="23" spans="1:3" x14ac:dyDescent="0.25">
      <c r="A23" t="s">
        <v>188</v>
      </c>
      <c r="B23" t="s">
        <v>204</v>
      </c>
      <c r="C23" t="s">
        <v>208</v>
      </c>
    </row>
  </sheetData>
  <hyperlinks>
    <hyperlink ref="G6" r:id="rId1" xr:uid="{47ED0386-21FF-4BB5-B559-27F3EDD9106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test_log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2025-08-19T14:15:54Z</dcterms:created>
  <dcterms:modified xsi:type="dcterms:W3CDTF">2025-08-19T18:20:12Z</dcterms:modified>
</cp:coreProperties>
</file>